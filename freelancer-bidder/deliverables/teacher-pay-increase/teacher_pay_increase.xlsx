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Config" sheetId="2" state="visible" r:id="rId2"/>
    <sheet name="Summary" sheetId="3" state="visible" r:id="rId3"/>
  </sheets>
  <definedNames>
    <definedName name="_xlnm._FilterDatabase" localSheetId="0" hidden="1">'Teachers'!$A$1:$J$31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0" fillId="2" borderId="1" pivotButton="0" quotePrefix="0" xfId="0"/>
    <xf numFmtId="10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0" fillId="2" borderId="0" pivotButton="0" quotePrefix="0" xfId="0"/>
    <xf numFmtId="10" fontId="0" fillId="2" borderId="0" pivotButton="0" quotePrefix="0" xfId="0"/>
    <xf numFmtId="0" fontId="0" fillId="0" borderId="1" pivotButton="0" quotePrefix="0" xfId="0"/>
    <xf numFmtId="10" fontId="0" fillId="2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2" customHeight="1">
      <c r="A1" s="1" t="inlineStr">
        <is>
          <t>Teacher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Years of Service</t>
        </is>
      </c>
      <c r="E1" s="1" t="inlineStr">
        <is>
          <t>Current Annual Pay</t>
        </is>
      </c>
      <c r="F1" s="1" t="inlineStr">
        <is>
          <t>Increase % Applied</t>
        </is>
      </c>
      <c r="G1" s="1" t="inlineStr">
        <is>
          <t>Increase Amount</t>
        </is>
      </c>
      <c r="H1" s="1" t="inlineStr">
        <is>
          <t>New Annual Pay</t>
        </is>
      </c>
      <c r="I1" s="1" t="inlineStr">
        <is>
          <t>Monthly New Pay</t>
        </is>
      </c>
      <c r="J1" s="1" t="inlineStr">
        <is>
          <t>Validation</t>
        </is>
      </c>
    </row>
    <row r="2">
      <c r="A2" s="2" t="inlineStr">
        <is>
          <t>T001</t>
        </is>
      </c>
      <c r="B2" s="2" t="inlineStr">
        <is>
          <t>Alice Brown</t>
        </is>
      </c>
      <c r="C2" s="2" t="inlineStr">
        <is>
          <t>Math</t>
        </is>
      </c>
      <c r="D2" s="2" t="n">
        <v>5</v>
      </c>
      <c r="E2" s="3" t="n">
        <v>42000</v>
      </c>
      <c r="F2" s="4">
        <f>IF(Config!$B$3="flat",Config!$B$4,IF(D2="","",IF(AND(D2&gt;=Config!$B$7,D2&lt;=Config!$C$7),Config!$D$7,IF(AND(D2&gt;=Config!$B$8,D2&lt;=Config!$C$8),Config!$D$8,IF(AND(D2&gt;=Config!$B$9,D2&lt;=Config!$C$9),Config!$D$9,IF(AND(D2&gt;=Config!$B$10,D2&lt;=Config!$C$10),Config!$D$10,0))))))</f>
        <v/>
      </c>
      <c r="G2" s="5">
        <f>IF(OR(E2="",F2=""),"",E2*F2)</f>
        <v/>
      </c>
      <c r="H2" s="5">
        <f>IF(E2="","",E2+G2)</f>
        <v/>
      </c>
      <c r="I2" s="5">
        <f>IF(H2="","",H2/12)</f>
        <v/>
      </c>
      <c r="J2" s="6">
        <f>IF(A2="","",IF(OR(D2&lt;0,E2&lt;0),"Check years/pay","OK"))</f>
        <v/>
      </c>
    </row>
    <row r="3">
      <c r="A3" s="2" t="inlineStr">
        <is>
          <t>T002</t>
        </is>
      </c>
      <c r="B3" s="2" t="inlineStr">
        <is>
          <t>Brian Clark</t>
        </is>
      </c>
      <c r="C3" s="2" t="inlineStr">
        <is>
          <t>English</t>
        </is>
      </c>
      <c r="D3" s="2" t="n">
        <v>12</v>
      </c>
      <c r="E3" s="3" t="n">
        <v>51000</v>
      </c>
      <c r="F3" s="4">
        <f>IF(Config!$B$3="flat",Config!$B$4,IF(D3="","",IF(AND(D3&gt;=Config!$B$7,D3&lt;=Config!$C$7),Config!$D$7,IF(AND(D3&gt;=Config!$B$8,D3&lt;=Config!$C$8),Config!$D$8,IF(AND(D3&gt;=Config!$B$9,D3&lt;=Config!$C$9),Config!$D$9,IF(AND(D3&gt;=Config!$B$10,D3&lt;=Config!$C$10),Config!$D$10,0))))))</f>
        <v/>
      </c>
      <c r="G3" s="5">
        <f>IF(OR(E3="",F3=""),"",E3*F3)</f>
        <v/>
      </c>
      <c r="H3" s="5">
        <f>IF(E3="","",E3+G3)</f>
        <v/>
      </c>
      <c r="I3" s="5">
        <f>IF(H3="","",H3/12)</f>
        <v/>
      </c>
      <c r="J3" s="6">
        <f>IF(A3="","",IF(OR(D3&lt;0,E3&lt;0),"Check years/pay","OK"))</f>
        <v/>
      </c>
    </row>
    <row r="4">
      <c r="A4" s="2" t="inlineStr">
        <is>
          <t>T003</t>
        </is>
      </c>
      <c r="B4" s="2" t="inlineStr">
        <is>
          <t>Carla Diaz</t>
        </is>
      </c>
      <c r="C4" s="2" t="inlineStr">
        <is>
          <t>Science</t>
        </is>
      </c>
      <c r="D4" s="2" t="n">
        <v>2</v>
      </c>
      <c r="E4" s="3" t="n">
        <v>38000</v>
      </c>
      <c r="F4" s="4">
        <f>IF(Config!$B$3="flat",Config!$B$4,IF(D4="","",IF(AND(D4&gt;=Config!$B$7,D4&lt;=Config!$C$7),Config!$D$7,IF(AND(D4&gt;=Config!$B$8,D4&lt;=Config!$C$8),Config!$D$8,IF(AND(D4&gt;=Config!$B$9,D4&lt;=Config!$C$9),Config!$D$9,IF(AND(D4&gt;=Config!$B$10,D4&lt;=Config!$C$10),Config!$D$10,0))))))</f>
        <v/>
      </c>
      <c r="G4" s="5">
        <f>IF(OR(E4="",F4=""),"",E4*F4)</f>
        <v/>
      </c>
      <c r="H4" s="5">
        <f>IF(E4="","",E4+G4)</f>
        <v/>
      </c>
      <c r="I4" s="5">
        <f>IF(H4="","",H4/12)</f>
        <v/>
      </c>
      <c r="J4" s="6">
        <f>IF(A4="","",IF(OR(D4&lt;0,E4&lt;0),"Check years/pay","OK"))</f>
        <v/>
      </c>
    </row>
    <row r="5">
      <c r="A5" s="2" t="inlineStr">
        <is>
          <t>T004</t>
        </is>
      </c>
      <c r="B5" s="2" t="inlineStr">
        <is>
          <t>David Evans</t>
        </is>
      </c>
      <c r="C5" s="2" t="inlineStr">
        <is>
          <t>History</t>
        </is>
      </c>
      <c r="D5" s="2" t="n">
        <v>8</v>
      </c>
      <c r="E5" s="3" t="n">
        <v>46000</v>
      </c>
      <c r="F5" s="4">
        <f>IF(Config!$B$3="flat",Config!$B$4,IF(D5="","",IF(AND(D5&gt;=Config!$B$7,D5&lt;=Config!$C$7),Config!$D$7,IF(AND(D5&gt;=Config!$B$8,D5&lt;=Config!$C$8),Config!$D$8,IF(AND(D5&gt;=Config!$B$9,D5&lt;=Config!$C$9),Config!$D$9,IF(AND(D5&gt;=Config!$B$10,D5&lt;=Config!$C$10),Config!$D$10,0))))))</f>
        <v/>
      </c>
      <c r="G5" s="5">
        <f>IF(OR(E5="",F5=""),"",E5*F5)</f>
        <v/>
      </c>
      <c r="H5" s="5">
        <f>IF(E5="","",E5+G5)</f>
        <v/>
      </c>
      <c r="I5" s="5">
        <f>IF(H5="","",H5/12)</f>
        <v/>
      </c>
      <c r="J5" s="6">
        <f>IF(A5="","",IF(OR(D5&lt;0,E5&lt;0),"Check years/pay","OK"))</f>
        <v/>
      </c>
    </row>
    <row r="6">
      <c r="A6" s="2" t="inlineStr">
        <is>
          <t>T005</t>
        </is>
      </c>
      <c r="B6" s="2" t="inlineStr">
        <is>
          <t>Elena Foster</t>
        </is>
      </c>
      <c r="C6" s="2" t="inlineStr">
        <is>
          <t>Art</t>
        </is>
      </c>
      <c r="D6" s="2" t="n">
        <v>15</v>
      </c>
      <c r="E6" s="3" t="n">
        <v>54000</v>
      </c>
      <c r="F6" s="4">
        <f>IF(Config!$B$3="flat",Config!$B$4,IF(D6="","",IF(AND(D6&gt;=Config!$B$7,D6&lt;=Config!$C$7),Config!$D$7,IF(AND(D6&gt;=Config!$B$8,D6&lt;=Config!$C$8),Config!$D$8,IF(AND(D6&gt;=Config!$B$9,D6&lt;=Config!$C$9),Config!$D$9,IF(AND(D6&gt;=Config!$B$10,D6&lt;=Config!$C$10),Config!$D$10,0))))))</f>
        <v/>
      </c>
      <c r="G6" s="5">
        <f>IF(OR(E6="",F6=""),"",E6*F6)</f>
        <v/>
      </c>
      <c r="H6" s="5">
        <f>IF(E6="","",E6+G6)</f>
        <v/>
      </c>
      <c r="I6" s="5">
        <f>IF(H6="","",H6/12)</f>
        <v/>
      </c>
      <c r="J6" s="6">
        <f>IF(A6="","",IF(OR(D6&lt;0,E6&lt;0),"Check years/pay","OK"))</f>
        <v/>
      </c>
    </row>
    <row r="7">
      <c r="A7" s="2" t="inlineStr">
        <is>
          <t>T006</t>
        </is>
      </c>
      <c r="B7" s="2" t="inlineStr">
        <is>
          <t>Frank Green</t>
        </is>
      </c>
      <c r="C7" s="2" t="inlineStr">
        <is>
          <t>PE</t>
        </is>
      </c>
      <c r="D7" s="2" t="n">
        <v>3</v>
      </c>
      <c r="E7" s="3" t="n">
        <v>39000</v>
      </c>
      <c r="F7" s="4">
        <f>IF(Config!$B$3="flat",Config!$B$4,IF(D7="","",IF(AND(D7&gt;=Config!$B$7,D7&lt;=Config!$C$7),Config!$D$7,IF(AND(D7&gt;=Config!$B$8,D7&lt;=Config!$C$8),Config!$D$8,IF(AND(D7&gt;=Config!$B$9,D7&lt;=Config!$C$9),Config!$D$9,IF(AND(D7&gt;=Config!$B$10,D7&lt;=Config!$C$10),Config!$D$10,0))))))</f>
        <v/>
      </c>
      <c r="G7" s="5">
        <f>IF(OR(E7="",F7=""),"",E7*F7)</f>
        <v/>
      </c>
      <c r="H7" s="5">
        <f>IF(E7="","",E7+G7)</f>
        <v/>
      </c>
      <c r="I7" s="5">
        <f>IF(H7="","",H7/12)</f>
        <v/>
      </c>
      <c r="J7" s="6">
        <f>IF(A7="","",IF(OR(D7&lt;0,E7&lt;0),"Check years/pay","OK"))</f>
        <v/>
      </c>
    </row>
    <row r="8">
      <c r="A8" s="2" t="inlineStr">
        <is>
          <t>T007</t>
        </is>
      </c>
      <c r="B8" s="2" t="inlineStr">
        <is>
          <t>Grace Hill</t>
        </is>
      </c>
      <c r="C8" s="2" t="inlineStr">
        <is>
          <t>Math</t>
        </is>
      </c>
      <c r="D8" s="2" t="n">
        <v>9</v>
      </c>
      <c r="E8" s="3" t="n">
        <v>47500</v>
      </c>
      <c r="F8" s="4">
        <f>IF(Config!$B$3="flat",Config!$B$4,IF(D8="","",IF(AND(D8&gt;=Config!$B$7,D8&lt;=Config!$C$7),Config!$D$7,IF(AND(D8&gt;=Config!$B$8,D8&lt;=Config!$C$8),Config!$D$8,IF(AND(D8&gt;=Config!$B$9,D8&lt;=Config!$C$9),Config!$D$9,IF(AND(D8&gt;=Config!$B$10,D8&lt;=Config!$C$10),Config!$D$10,0))))))</f>
        <v/>
      </c>
      <c r="G8" s="5">
        <f>IF(OR(E8="",F8=""),"",E8*F8)</f>
        <v/>
      </c>
      <c r="H8" s="5">
        <f>IF(E8="","",E8+G8)</f>
        <v/>
      </c>
      <c r="I8" s="5">
        <f>IF(H8="","",H8/12)</f>
        <v/>
      </c>
      <c r="J8" s="6">
        <f>IF(A8="","",IF(OR(D8&lt;0,E8&lt;0),"Check years/pay","OK"))</f>
        <v/>
      </c>
    </row>
    <row r="9">
      <c r="A9" s="2" t="inlineStr">
        <is>
          <t>T008</t>
        </is>
      </c>
      <c r="B9" s="2" t="inlineStr">
        <is>
          <t>Henry Ives</t>
        </is>
      </c>
      <c r="C9" s="2" t="inlineStr">
        <is>
          <t>English</t>
        </is>
      </c>
      <c r="D9" s="2" t="n">
        <v>1</v>
      </c>
      <c r="E9" s="3" t="n">
        <v>36000</v>
      </c>
      <c r="F9" s="4">
        <f>IF(Config!$B$3="flat",Config!$B$4,IF(D9="","",IF(AND(D9&gt;=Config!$B$7,D9&lt;=Config!$C$7),Config!$D$7,IF(AND(D9&gt;=Config!$B$8,D9&lt;=Config!$C$8),Config!$D$8,IF(AND(D9&gt;=Config!$B$9,D9&lt;=Config!$C$9),Config!$D$9,IF(AND(D9&gt;=Config!$B$10,D9&lt;=Config!$C$10),Config!$D$10,0))))))</f>
        <v/>
      </c>
      <c r="G9" s="5">
        <f>IF(OR(E9="",F9=""),"",E9*F9)</f>
        <v/>
      </c>
      <c r="H9" s="5">
        <f>IF(E9="","",E9+G9)</f>
        <v/>
      </c>
      <c r="I9" s="5">
        <f>IF(H9="","",H9/12)</f>
        <v/>
      </c>
      <c r="J9" s="6">
        <f>IF(A9="","",IF(OR(D9&lt;0,E9&lt;0),"Check years/pay","OK"))</f>
        <v/>
      </c>
    </row>
    <row r="10">
      <c r="A10" s="2" t="inlineStr">
        <is>
          <t>T009</t>
        </is>
      </c>
      <c r="B10" s="2" t="inlineStr">
        <is>
          <t>Ivy Jones</t>
        </is>
      </c>
      <c r="C10" s="2" t="inlineStr">
        <is>
          <t>Science</t>
        </is>
      </c>
      <c r="D10" s="2" t="n">
        <v>7</v>
      </c>
      <c r="E10" s="3" t="n">
        <v>45000</v>
      </c>
      <c r="F10" s="4">
        <f>IF(Config!$B$3="flat",Config!$B$4,IF(D10="","",IF(AND(D10&gt;=Config!$B$7,D10&lt;=Config!$C$7),Config!$D$7,IF(AND(D10&gt;=Config!$B$8,D10&lt;=Config!$C$8),Config!$D$8,IF(AND(D10&gt;=Config!$B$9,D10&lt;=Config!$C$9),Config!$D$9,IF(AND(D10&gt;=Config!$B$10,D10&lt;=Config!$C$10),Config!$D$10,0))))))</f>
        <v/>
      </c>
      <c r="G10" s="5">
        <f>IF(OR(E10="",F10=""),"",E10*F10)</f>
        <v/>
      </c>
      <c r="H10" s="5">
        <f>IF(E10="","",E10+G10)</f>
        <v/>
      </c>
      <c r="I10" s="5">
        <f>IF(H10="","",H10/12)</f>
        <v/>
      </c>
      <c r="J10" s="6">
        <f>IF(A10="","",IF(OR(D10&lt;0,E10&lt;0),"Check years/pay","OK"))</f>
        <v/>
      </c>
    </row>
    <row r="11">
      <c r="A11" s="2" t="inlineStr">
        <is>
          <t>T010</t>
        </is>
      </c>
      <c r="B11" s="2" t="inlineStr">
        <is>
          <t>Jack King</t>
        </is>
      </c>
      <c r="C11" s="2" t="inlineStr">
        <is>
          <t>Music</t>
        </is>
      </c>
      <c r="D11" s="2" t="n">
        <v>11</v>
      </c>
      <c r="E11" s="3" t="n">
        <v>50000</v>
      </c>
      <c r="F11" s="4">
        <f>IF(Config!$B$3="flat",Config!$B$4,IF(D11="","",IF(AND(D11&gt;=Config!$B$7,D11&lt;=Config!$C$7),Config!$D$7,IF(AND(D11&gt;=Config!$B$8,D11&lt;=Config!$C$8),Config!$D$8,IF(AND(D11&gt;=Config!$B$9,D11&lt;=Config!$C$9),Config!$D$9,IF(AND(D11&gt;=Config!$B$10,D11&lt;=Config!$C$10),Config!$D$10,0))))))</f>
        <v/>
      </c>
      <c r="G11" s="5">
        <f>IF(OR(E11="",F11=""),"",E11*F11)</f>
        <v/>
      </c>
      <c r="H11" s="5">
        <f>IF(E11="","",E11+G11)</f>
        <v/>
      </c>
      <c r="I11" s="5">
        <f>IF(H11="","",H11/12)</f>
        <v/>
      </c>
      <c r="J11" s="6">
        <f>IF(A11="","",IF(OR(D11&lt;0,E11&lt;0),"Check years/pay","OK"))</f>
        <v/>
      </c>
    </row>
    <row r="12">
      <c r="A12" s="2" t="inlineStr">
        <is>
          <t>T011</t>
        </is>
      </c>
      <c r="B12" s="2" t="inlineStr">
        <is>
          <t>Kara Lee</t>
        </is>
      </c>
      <c r="C12" s="2" t="inlineStr">
        <is>
          <t>Math</t>
        </is>
      </c>
      <c r="D12" s="2" t="n">
        <v>4</v>
      </c>
      <c r="E12" s="3" t="n">
        <v>41000</v>
      </c>
      <c r="F12" s="4">
        <f>IF(Config!$B$3="flat",Config!$B$4,IF(D12="","",IF(AND(D12&gt;=Config!$B$7,D12&lt;=Config!$C$7),Config!$D$7,IF(AND(D12&gt;=Config!$B$8,D12&lt;=Config!$C$8),Config!$D$8,IF(AND(D12&gt;=Config!$B$9,D12&lt;=Config!$C$9),Config!$D$9,IF(AND(D12&gt;=Config!$B$10,D12&lt;=Config!$C$10),Config!$D$10,0))))))</f>
        <v/>
      </c>
      <c r="G12" s="5">
        <f>IF(OR(E12="",F12=""),"",E12*F12)</f>
        <v/>
      </c>
      <c r="H12" s="5">
        <f>IF(E12="","",E12+G12)</f>
        <v/>
      </c>
      <c r="I12" s="5">
        <f>IF(H12="","",H12/12)</f>
        <v/>
      </c>
      <c r="J12" s="6">
        <f>IF(A12="","",IF(OR(D12&lt;0,E12&lt;0),"Check years/pay","OK"))</f>
        <v/>
      </c>
    </row>
    <row r="13">
      <c r="A13" s="2" t="inlineStr">
        <is>
          <t>T012</t>
        </is>
      </c>
      <c r="B13" s="2" t="inlineStr">
        <is>
          <t>Leo Martin</t>
        </is>
      </c>
      <c r="C13" s="2" t="inlineStr">
        <is>
          <t>English</t>
        </is>
      </c>
      <c r="D13" s="2" t="n">
        <v>6</v>
      </c>
      <c r="E13" s="3" t="n">
        <v>43500</v>
      </c>
      <c r="F13" s="4">
        <f>IF(Config!$B$3="flat",Config!$B$4,IF(D13="","",IF(AND(D13&gt;=Config!$B$7,D13&lt;=Config!$C$7),Config!$D$7,IF(AND(D13&gt;=Config!$B$8,D13&lt;=Config!$C$8),Config!$D$8,IF(AND(D13&gt;=Config!$B$9,D13&lt;=Config!$C$9),Config!$D$9,IF(AND(D13&gt;=Config!$B$10,D13&lt;=Config!$C$10),Config!$D$10,0))))))</f>
        <v/>
      </c>
      <c r="G13" s="5">
        <f>IF(OR(E13="",F13=""),"",E13*F13)</f>
        <v/>
      </c>
      <c r="H13" s="5">
        <f>IF(E13="","",E13+G13)</f>
        <v/>
      </c>
      <c r="I13" s="5">
        <f>IF(H13="","",H13/12)</f>
        <v/>
      </c>
      <c r="J13" s="6">
        <f>IF(A13="","",IF(OR(D13&lt;0,E13&lt;0),"Check years/pay","OK"))</f>
        <v/>
      </c>
    </row>
    <row r="14">
      <c r="A14" s="2" t="inlineStr">
        <is>
          <t>T013</t>
        </is>
      </c>
      <c r="B14" s="2" t="inlineStr">
        <is>
          <t>Mia Nelson</t>
        </is>
      </c>
      <c r="C14" s="2" t="inlineStr">
        <is>
          <t>Science</t>
        </is>
      </c>
      <c r="D14" s="2" t="n">
        <v>14</v>
      </c>
      <c r="E14" s="3" t="n">
        <v>53000</v>
      </c>
      <c r="F14" s="4">
        <f>IF(Config!$B$3="flat",Config!$B$4,IF(D14="","",IF(AND(D14&gt;=Config!$B$7,D14&lt;=Config!$C$7),Config!$D$7,IF(AND(D14&gt;=Config!$B$8,D14&lt;=Config!$C$8),Config!$D$8,IF(AND(D14&gt;=Config!$B$9,D14&lt;=Config!$C$9),Config!$D$9,IF(AND(D14&gt;=Config!$B$10,D14&lt;=Config!$C$10),Config!$D$10,0))))))</f>
        <v/>
      </c>
      <c r="G14" s="5">
        <f>IF(OR(E14="",F14=""),"",E14*F14)</f>
        <v/>
      </c>
      <c r="H14" s="5">
        <f>IF(E14="","",E14+G14)</f>
        <v/>
      </c>
      <c r="I14" s="5">
        <f>IF(H14="","",H14/12)</f>
        <v/>
      </c>
      <c r="J14" s="6">
        <f>IF(A14="","",IF(OR(D14&lt;0,E14&lt;0),"Check years/pay","OK"))</f>
        <v/>
      </c>
    </row>
    <row r="15">
      <c r="A15" s="2" t="inlineStr">
        <is>
          <t>T014</t>
        </is>
      </c>
      <c r="B15" s="2" t="inlineStr">
        <is>
          <t>Noah Owen</t>
        </is>
      </c>
      <c r="C15" s="2" t="inlineStr">
        <is>
          <t>History</t>
        </is>
      </c>
      <c r="D15" s="2" t="n">
        <v>2</v>
      </c>
      <c r="E15" s="3" t="n">
        <v>37500</v>
      </c>
      <c r="F15" s="4">
        <f>IF(Config!$B$3="flat",Config!$B$4,IF(D15="","",IF(AND(D15&gt;=Config!$B$7,D15&lt;=Config!$C$7),Config!$D$7,IF(AND(D15&gt;=Config!$B$8,D15&lt;=Config!$C$8),Config!$D$8,IF(AND(D15&gt;=Config!$B$9,D15&lt;=Config!$C$9),Config!$D$9,IF(AND(D15&gt;=Config!$B$10,D15&lt;=Config!$C$10),Config!$D$10,0))))))</f>
        <v/>
      </c>
      <c r="G15" s="5">
        <f>IF(OR(E15="",F15=""),"",E15*F15)</f>
        <v/>
      </c>
      <c r="H15" s="5">
        <f>IF(E15="","",E15+G15)</f>
        <v/>
      </c>
      <c r="I15" s="5">
        <f>IF(H15="","",H15/12)</f>
        <v/>
      </c>
      <c r="J15" s="6">
        <f>IF(A15="","",IF(OR(D15&lt;0,E15&lt;0),"Check years/pay","OK"))</f>
        <v/>
      </c>
    </row>
    <row r="16">
      <c r="A16" s="2" t="inlineStr">
        <is>
          <t>T015</t>
        </is>
      </c>
      <c r="B16" s="2" t="inlineStr">
        <is>
          <t>Olivia Perez</t>
        </is>
      </c>
      <c r="C16" s="2" t="inlineStr">
        <is>
          <t>Art</t>
        </is>
      </c>
      <c r="D16" s="2" t="n">
        <v>10</v>
      </c>
      <c r="E16" s="3" t="n">
        <v>49000</v>
      </c>
      <c r="F16" s="4">
        <f>IF(Config!$B$3="flat",Config!$B$4,IF(D16="","",IF(AND(D16&gt;=Config!$B$7,D16&lt;=Config!$C$7),Config!$D$7,IF(AND(D16&gt;=Config!$B$8,D16&lt;=Config!$C$8),Config!$D$8,IF(AND(D16&gt;=Config!$B$9,D16&lt;=Config!$C$9),Config!$D$9,IF(AND(D16&gt;=Config!$B$10,D16&lt;=Config!$C$10),Config!$D$10,0))))))</f>
        <v/>
      </c>
      <c r="G16" s="5">
        <f>IF(OR(E16="",F16=""),"",E16*F16)</f>
        <v/>
      </c>
      <c r="H16" s="5">
        <f>IF(E16="","",E16+G16)</f>
        <v/>
      </c>
      <c r="I16" s="5">
        <f>IF(H16="","",H16/12)</f>
        <v/>
      </c>
      <c r="J16" s="6">
        <f>IF(A16="","",IF(OR(D16&lt;0,E16&lt;0),"Check years/pay","OK"))</f>
        <v/>
      </c>
    </row>
    <row r="17">
      <c r="A17" s="2" t="inlineStr">
        <is>
          <t>T016</t>
        </is>
      </c>
      <c r="B17" s="2" t="inlineStr">
        <is>
          <t>Paul Quinn</t>
        </is>
      </c>
      <c r="C17" s="2" t="inlineStr">
        <is>
          <t>PE</t>
        </is>
      </c>
      <c r="D17" s="2" t="n">
        <v>8</v>
      </c>
      <c r="E17" s="3" t="n">
        <v>45500</v>
      </c>
      <c r="F17" s="4">
        <f>IF(Config!$B$3="flat",Config!$B$4,IF(D17="","",IF(AND(D17&gt;=Config!$B$7,D17&lt;=Config!$C$7),Config!$D$7,IF(AND(D17&gt;=Config!$B$8,D17&lt;=Config!$C$8),Config!$D$8,IF(AND(D17&gt;=Config!$B$9,D17&lt;=Config!$C$9),Config!$D$9,IF(AND(D17&gt;=Config!$B$10,D17&lt;=Config!$C$10),Config!$D$10,0))))))</f>
        <v/>
      </c>
      <c r="G17" s="5">
        <f>IF(OR(E17="",F17=""),"",E17*F17)</f>
        <v/>
      </c>
      <c r="H17" s="5">
        <f>IF(E17="","",E17+G17)</f>
        <v/>
      </c>
      <c r="I17" s="5">
        <f>IF(H17="","",H17/12)</f>
        <v/>
      </c>
      <c r="J17" s="6">
        <f>IF(A17="","",IF(OR(D17&lt;0,E17&lt;0),"Check years/pay","OK"))</f>
        <v/>
      </c>
    </row>
    <row r="18">
      <c r="A18" s="2" t="inlineStr">
        <is>
          <t>T017</t>
        </is>
      </c>
      <c r="B18" s="2" t="inlineStr">
        <is>
          <t>Quinn Reed</t>
        </is>
      </c>
      <c r="C18" s="2" t="inlineStr">
        <is>
          <t>Math</t>
        </is>
      </c>
      <c r="D18" s="2" t="n">
        <v>3</v>
      </c>
      <c r="E18" s="3" t="n">
        <v>39500</v>
      </c>
      <c r="F18" s="4">
        <f>IF(Config!$B$3="flat",Config!$B$4,IF(D18="","",IF(AND(D18&gt;=Config!$B$7,D18&lt;=Config!$C$7),Config!$D$7,IF(AND(D18&gt;=Config!$B$8,D18&lt;=Config!$C$8),Config!$D$8,IF(AND(D18&gt;=Config!$B$9,D18&lt;=Config!$C$9),Config!$D$9,IF(AND(D18&gt;=Config!$B$10,D18&lt;=Config!$C$10),Config!$D$10,0))))))</f>
        <v/>
      </c>
      <c r="G18" s="5">
        <f>IF(OR(E18="",F18=""),"",E18*F18)</f>
        <v/>
      </c>
      <c r="H18" s="5">
        <f>IF(E18="","",E18+G18)</f>
        <v/>
      </c>
      <c r="I18" s="5">
        <f>IF(H18="","",H18/12)</f>
        <v/>
      </c>
      <c r="J18" s="6">
        <f>IF(A18="","",IF(OR(D18&lt;0,E18&lt;0),"Check years/pay","OK"))</f>
        <v/>
      </c>
    </row>
    <row r="19">
      <c r="A19" s="2" t="inlineStr">
        <is>
          <t>T018</t>
        </is>
      </c>
      <c r="B19" s="2" t="inlineStr">
        <is>
          <t>Rita Shah</t>
        </is>
      </c>
      <c r="C19" s="2" t="inlineStr">
        <is>
          <t>English</t>
        </is>
      </c>
      <c r="D19" s="2" t="n">
        <v>13</v>
      </c>
      <c r="E19" s="3" t="n">
        <v>52000</v>
      </c>
      <c r="F19" s="4">
        <f>IF(Config!$B$3="flat",Config!$B$4,IF(D19="","",IF(AND(D19&gt;=Config!$B$7,D19&lt;=Config!$C$7),Config!$D$7,IF(AND(D19&gt;=Config!$B$8,D19&lt;=Config!$C$8),Config!$D$8,IF(AND(D19&gt;=Config!$B$9,D19&lt;=Config!$C$9),Config!$D$9,IF(AND(D19&gt;=Config!$B$10,D19&lt;=Config!$C$10),Config!$D$10,0))))))</f>
        <v/>
      </c>
      <c r="G19" s="5">
        <f>IF(OR(E19="",F19=""),"",E19*F19)</f>
        <v/>
      </c>
      <c r="H19" s="5">
        <f>IF(E19="","",E19+G19)</f>
        <v/>
      </c>
      <c r="I19" s="5">
        <f>IF(H19="","",H19/12)</f>
        <v/>
      </c>
      <c r="J19" s="6">
        <f>IF(A19="","",IF(OR(D19&lt;0,E19&lt;0),"Check years/pay","OK"))</f>
        <v/>
      </c>
    </row>
    <row r="20">
      <c r="A20" s="2" t="inlineStr">
        <is>
          <t>T019</t>
        </is>
      </c>
      <c r="B20" s="2" t="inlineStr">
        <is>
          <t>Sam Turner</t>
        </is>
      </c>
      <c r="C20" s="2" t="inlineStr">
        <is>
          <t>Science</t>
        </is>
      </c>
      <c r="D20" s="2" t="n">
        <v>5</v>
      </c>
      <c r="E20" s="3" t="n">
        <v>42500</v>
      </c>
      <c r="F20" s="4">
        <f>IF(Config!$B$3="flat",Config!$B$4,IF(D20="","",IF(AND(D20&gt;=Config!$B$7,D20&lt;=Config!$C$7),Config!$D$7,IF(AND(D20&gt;=Config!$B$8,D20&lt;=Config!$C$8),Config!$D$8,IF(AND(D20&gt;=Config!$B$9,D20&lt;=Config!$C$9),Config!$D$9,IF(AND(D20&gt;=Config!$B$10,D20&lt;=Config!$C$10),Config!$D$10,0))))))</f>
        <v/>
      </c>
      <c r="G20" s="5">
        <f>IF(OR(E20="",F20=""),"",E20*F20)</f>
        <v/>
      </c>
      <c r="H20" s="5">
        <f>IF(E20="","",E20+G20)</f>
        <v/>
      </c>
      <c r="I20" s="5">
        <f>IF(H20="","",H20/12)</f>
        <v/>
      </c>
      <c r="J20" s="6">
        <f>IF(A20="","",IF(OR(D20&lt;0,E20&lt;0),"Check years/pay","OK"))</f>
        <v/>
      </c>
    </row>
    <row r="21">
      <c r="A21" s="2" t="inlineStr">
        <is>
          <t>T020</t>
        </is>
      </c>
      <c r="B21" s="2" t="inlineStr">
        <is>
          <t>Tina Underwood</t>
        </is>
      </c>
      <c r="C21" s="2" t="inlineStr">
        <is>
          <t>Music</t>
        </is>
      </c>
      <c r="D21" s="2" t="n">
        <v>7</v>
      </c>
      <c r="E21" s="3" t="n">
        <v>44500</v>
      </c>
      <c r="F21" s="4">
        <f>IF(Config!$B$3="flat",Config!$B$4,IF(D21="","",IF(AND(D21&gt;=Config!$B$7,D21&lt;=Config!$C$7),Config!$D$7,IF(AND(D21&gt;=Config!$B$8,D21&lt;=Config!$C$8),Config!$D$8,IF(AND(D21&gt;=Config!$B$9,D21&lt;=Config!$C$9),Config!$D$9,IF(AND(D21&gt;=Config!$B$10,D21&lt;=Config!$C$10),Config!$D$10,0))))))</f>
        <v/>
      </c>
      <c r="G21" s="5">
        <f>IF(OR(E21="",F21=""),"",E21*F21)</f>
        <v/>
      </c>
      <c r="H21" s="5">
        <f>IF(E21="","",E21+G21)</f>
        <v/>
      </c>
      <c r="I21" s="5">
        <f>IF(H21="","",H21/12)</f>
        <v/>
      </c>
      <c r="J21" s="6">
        <f>IF(A21="","",IF(OR(D21&lt;0,E21&lt;0),"Check years/pay","OK"))</f>
        <v/>
      </c>
    </row>
    <row r="22">
      <c r="A22" s="2" t="inlineStr">
        <is>
          <t>T021</t>
        </is>
      </c>
      <c r="B22" s="2" t="inlineStr">
        <is>
          <t>Uma Vargas</t>
        </is>
      </c>
      <c r="C22" s="2" t="inlineStr">
        <is>
          <t>History</t>
        </is>
      </c>
      <c r="D22" s="2" t="n">
        <v>9</v>
      </c>
      <c r="E22" s="3" t="n">
        <v>47000</v>
      </c>
      <c r="F22" s="4">
        <f>IF(Config!$B$3="flat",Config!$B$4,IF(D22="","",IF(AND(D22&gt;=Config!$B$7,D22&lt;=Config!$C$7),Config!$D$7,IF(AND(D22&gt;=Config!$B$8,D22&lt;=Config!$C$8),Config!$D$8,IF(AND(D22&gt;=Config!$B$9,D22&lt;=Config!$C$9),Config!$D$9,IF(AND(D22&gt;=Config!$B$10,D22&lt;=Config!$C$10),Config!$D$10,0))))))</f>
        <v/>
      </c>
      <c r="G22" s="5">
        <f>IF(OR(E22="",F22=""),"",E22*F22)</f>
        <v/>
      </c>
      <c r="H22" s="5">
        <f>IF(E22="","",E22+G22)</f>
        <v/>
      </c>
      <c r="I22" s="5">
        <f>IF(H22="","",H22/12)</f>
        <v/>
      </c>
      <c r="J22" s="6">
        <f>IF(A22="","",IF(OR(D22&lt;0,E22&lt;0),"Check years/pay","OK"))</f>
        <v/>
      </c>
    </row>
    <row r="23">
      <c r="A23" s="2" t="inlineStr">
        <is>
          <t>T022</t>
        </is>
      </c>
      <c r="B23" s="2" t="inlineStr">
        <is>
          <t>Victor White</t>
        </is>
      </c>
      <c r="C23" s="2" t="inlineStr">
        <is>
          <t>Math</t>
        </is>
      </c>
      <c r="D23" s="2" t="n">
        <v>16</v>
      </c>
      <c r="E23" s="3" t="n">
        <v>56000</v>
      </c>
      <c r="F23" s="4">
        <f>IF(Config!$B$3="flat",Config!$B$4,IF(D23="","",IF(AND(D23&gt;=Config!$B$7,D23&lt;=Config!$C$7),Config!$D$7,IF(AND(D23&gt;=Config!$B$8,D23&lt;=Config!$C$8),Config!$D$8,IF(AND(D23&gt;=Config!$B$9,D23&lt;=Config!$C$9),Config!$D$9,IF(AND(D23&gt;=Config!$B$10,D23&lt;=Config!$C$10),Config!$D$10,0))))))</f>
        <v/>
      </c>
      <c r="G23" s="5">
        <f>IF(OR(E23="",F23=""),"",E23*F23)</f>
        <v/>
      </c>
      <c r="H23" s="5">
        <f>IF(E23="","",E23+G23)</f>
        <v/>
      </c>
      <c r="I23" s="5">
        <f>IF(H23="","",H23/12)</f>
        <v/>
      </c>
      <c r="J23" s="6">
        <f>IF(A23="","",IF(OR(D23&lt;0,E23&lt;0),"Check years/pay","OK"))</f>
        <v/>
      </c>
    </row>
    <row r="24">
      <c r="A24" s="2" t="inlineStr">
        <is>
          <t>T023</t>
        </is>
      </c>
      <c r="B24" s="2" t="inlineStr">
        <is>
          <t>Wendy Xu</t>
        </is>
      </c>
      <c r="C24" s="2" t="inlineStr">
        <is>
          <t>English</t>
        </is>
      </c>
      <c r="D24" s="2" t="n">
        <v>4</v>
      </c>
      <c r="E24" s="3" t="n">
        <v>40500</v>
      </c>
      <c r="F24" s="4">
        <f>IF(Config!$B$3="flat",Config!$B$4,IF(D24="","",IF(AND(D24&gt;=Config!$B$7,D24&lt;=Config!$C$7),Config!$D$7,IF(AND(D24&gt;=Config!$B$8,D24&lt;=Config!$C$8),Config!$D$8,IF(AND(D24&gt;=Config!$B$9,D24&lt;=Config!$C$9),Config!$D$9,IF(AND(D24&gt;=Config!$B$10,D24&lt;=Config!$C$10),Config!$D$10,0))))))</f>
        <v/>
      </c>
      <c r="G24" s="5">
        <f>IF(OR(E24="",F24=""),"",E24*F24)</f>
        <v/>
      </c>
      <c r="H24" s="5">
        <f>IF(E24="","",E24+G24)</f>
        <v/>
      </c>
      <c r="I24" s="5">
        <f>IF(H24="","",H24/12)</f>
        <v/>
      </c>
      <c r="J24" s="6">
        <f>IF(A24="","",IF(OR(D24&lt;0,E24&lt;0),"Check years/pay","OK"))</f>
        <v/>
      </c>
    </row>
    <row r="25">
      <c r="A25" s="2" t="inlineStr">
        <is>
          <t>T024</t>
        </is>
      </c>
      <c r="B25" s="2" t="inlineStr">
        <is>
          <t>Xander Young</t>
        </is>
      </c>
      <c r="C25" s="2" t="inlineStr">
        <is>
          <t>Science</t>
        </is>
      </c>
      <c r="D25" s="2" t="n">
        <v>6</v>
      </c>
      <c r="E25" s="3" t="n">
        <v>44000</v>
      </c>
      <c r="F25" s="4">
        <f>IF(Config!$B$3="flat",Config!$B$4,IF(D25="","",IF(AND(D25&gt;=Config!$B$7,D25&lt;=Config!$C$7),Config!$D$7,IF(AND(D25&gt;=Config!$B$8,D25&lt;=Config!$C$8),Config!$D$8,IF(AND(D25&gt;=Config!$B$9,D25&lt;=Config!$C$9),Config!$D$9,IF(AND(D25&gt;=Config!$B$10,D25&lt;=Config!$C$10),Config!$D$10,0))))))</f>
        <v/>
      </c>
      <c r="G25" s="5">
        <f>IF(OR(E25="",F25=""),"",E25*F25)</f>
        <v/>
      </c>
      <c r="H25" s="5">
        <f>IF(E25="","",E25+G25)</f>
        <v/>
      </c>
      <c r="I25" s="5">
        <f>IF(H25="","",H25/12)</f>
        <v/>
      </c>
      <c r="J25" s="6">
        <f>IF(A25="","",IF(OR(D25&lt;0,E25&lt;0),"Check years/pay","OK"))</f>
        <v/>
      </c>
    </row>
    <row r="26">
      <c r="A26" s="2" t="inlineStr">
        <is>
          <t>T025</t>
        </is>
      </c>
      <c r="B26" s="2" t="inlineStr">
        <is>
          <t>Yara Zane</t>
        </is>
      </c>
      <c r="C26" s="2" t="inlineStr">
        <is>
          <t>Art</t>
        </is>
      </c>
      <c r="D26" s="2" t="n">
        <v>2</v>
      </c>
      <c r="E26" s="3" t="n">
        <v>37000</v>
      </c>
      <c r="F26" s="4">
        <f>IF(Config!$B$3="flat",Config!$B$4,IF(D26="","",IF(AND(D26&gt;=Config!$B$7,D26&lt;=Config!$C$7),Config!$D$7,IF(AND(D26&gt;=Config!$B$8,D26&lt;=Config!$C$8),Config!$D$8,IF(AND(D26&gt;=Config!$B$9,D26&lt;=Config!$C$9),Config!$D$9,IF(AND(D26&gt;=Config!$B$10,D26&lt;=Config!$C$10),Config!$D$10,0))))))</f>
        <v/>
      </c>
      <c r="G26" s="5">
        <f>IF(OR(E26="",F26=""),"",E26*F26)</f>
        <v/>
      </c>
      <c r="H26" s="5">
        <f>IF(E26="","",E26+G26)</f>
        <v/>
      </c>
      <c r="I26" s="5">
        <f>IF(H26="","",H26/12)</f>
        <v/>
      </c>
      <c r="J26" s="6">
        <f>IF(A26="","",IF(OR(D26&lt;0,E26&lt;0),"Check years/pay","OK"))</f>
        <v/>
      </c>
    </row>
    <row r="27">
      <c r="A27" s="2" t="inlineStr">
        <is>
          <t>T026</t>
        </is>
      </c>
      <c r="B27" s="2" t="inlineStr">
        <is>
          <t>Zoe Adams</t>
        </is>
      </c>
      <c r="C27" s="2" t="inlineStr">
        <is>
          <t>PE</t>
        </is>
      </c>
      <c r="D27" s="2" t="n">
        <v>11</v>
      </c>
      <c r="E27" s="3" t="n">
        <v>49500</v>
      </c>
      <c r="F27" s="4">
        <f>IF(Config!$B$3="flat",Config!$B$4,IF(D27="","",IF(AND(D27&gt;=Config!$B$7,D27&lt;=Config!$C$7),Config!$D$7,IF(AND(D27&gt;=Config!$B$8,D27&lt;=Config!$C$8),Config!$D$8,IF(AND(D27&gt;=Config!$B$9,D27&lt;=Config!$C$9),Config!$D$9,IF(AND(D27&gt;=Config!$B$10,D27&lt;=Config!$C$10),Config!$D$10,0))))))</f>
        <v/>
      </c>
      <c r="G27" s="5">
        <f>IF(OR(E27="",F27=""),"",E27*F27)</f>
        <v/>
      </c>
      <c r="H27" s="5">
        <f>IF(E27="","",E27+G27)</f>
        <v/>
      </c>
      <c r="I27" s="5">
        <f>IF(H27="","",H27/12)</f>
        <v/>
      </c>
      <c r="J27" s="6">
        <f>IF(A27="","",IF(OR(D27&lt;0,E27&lt;0),"Check years/pay","OK"))</f>
        <v/>
      </c>
    </row>
    <row r="28">
      <c r="A28" s="2" t="inlineStr">
        <is>
          <t>T027</t>
        </is>
      </c>
      <c r="B28" s="2" t="inlineStr">
        <is>
          <t>Amy Blake</t>
        </is>
      </c>
      <c r="C28" s="2" t="inlineStr">
        <is>
          <t>Math</t>
        </is>
      </c>
      <c r="D28" s="2" t="n">
        <v>8</v>
      </c>
      <c r="E28" s="3" t="n">
        <v>46500</v>
      </c>
      <c r="F28" s="4">
        <f>IF(Config!$B$3="flat",Config!$B$4,IF(D28="","",IF(AND(D28&gt;=Config!$B$7,D28&lt;=Config!$C$7),Config!$D$7,IF(AND(D28&gt;=Config!$B$8,D28&lt;=Config!$C$8),Config!$D$8,IF(AND(D28&gt;=Config!$B$9,D28&lt;=Config!$C$9),Config!$D$9,IF(AND(D28&gt;=Config!$B$10,D28&lt;=Config!$C$10),Config!$D$10,0))))))</f>
        <v/>
      </c>
      <c r="G28" s="5">
        <f>IF(OR(E28="",F28=""),"",E28*F28)</f>
        <v/>
      </c>
      <c r="H28" s="5">
        <f>IF(E28="","",E28+G28)</f>
        <v/>
      </c>
      <c r="I28" s="5">
        <f>IF(H28="","",H28/12)</f>
        <v/>
      </c>
      <c r="J28" s="6">
        <f>IF(A28="","",IF(OR(D28&lt;0,E28&lt;0),"Check years/pay","OK"))</f>
        <v/>
      </c>
    </row>
    <row r="29">
      <c r="A29" s="2" t="inlineStr">
        <is>
          <t>T028</t>
        </is>
      </c>
      <c r="B29" s="2" t="inlineStr">
        <is>
          <t>Ben Cole</t>
        </is>
      </c>
      <c r="C29" s="2" t="inlineStr">
        <is>
          <t>English</t>
        </is>
      </c>
      <c r="D29" s="2" t="n">
        <v>1</v>
      </c>
      <c r="E29" s="3" t="n">
        <v>35500</v>
      </c>
      <c r="F29" s="4">
        <f>IF(Config!$B$3="flat",Config!$B$4,IF(D29="","",IF(AND(D29&gt;=Config!$B$7,D29&lt;=Config!$C$7),Config!$D$7,IF(AND(D29&gt;=Config!$B$8,D29&lt;=Config!$C$8),Config!$D$8,IF(AND(D29&gt;=Config!$B$9,D29&lt;=Config!$C$9),Config!$D$9,IF(AND(D29&gt;=Config!$B$10,D29&lt;=Config!$C$10),Config!$D$10,0))))))</f>
        <v/>
      </c>
      <c r="G29" s="5">
        <f>IF(OR(E29="",F29=""),"",E29*F29)</f>
        <v/>
      </c>
      <c r="H29" s="5">
        <f>IF(E29="","",E29+G29)</f>
        <v/>
      </c>
      <c r="I29" s="5">
        <f>IF(H29="","",H29/12)</f>
        <v/>
      </c>
      <c r="J29" s="6">
        <f>IF(A29="","",IF(OR(D29&lt;0,E29&lt;0),"Check years/pay","OK"))</f>
        <v/>
      </c>
    </row>
    <row r="30">
      <c r="A30" s="2" t="inlineStr">
        <is>
          <t>T029</t>
        </is>
      </c>
      <c r="B30" s="2" t="inlineStr">
        <is>
          <t>Cara Dunn</t>
        </is>
      </c>
      <c r="C30" s="2" t="inlineStr">
        <is>
          <t>Science</t>
        </is>
      </c>
      <c r="D30" s="2" t="n">
        <v>10</v>
      </c>
      <c r="E30" s="3" t="n">
        <v>48500</v>
      </c>
      <c r="F30" s="4">
        <f>IF(Config!$B$3="flat",Config!$B$4,IF(D30="","",IF(AND(D30&gt;=Config!$B$7,D30&lt;=Config!$C$7),Config!$D$7,IF(AND(D30&gt;=Config!$B$8,D30&lt;=Config!$C$8),Config!$D$8,IF(AND(D30&gt;=Config!$B$9,D30&lt;=Config!$C$9),Config!$D$9,IF(AND(D30&gt;=Config!$B$10,D30&lt;=Config!$C$10),Config!$D$10,0))))))</f>
        <v/>
      </c>
      <c r="G30" s="5">
        <f>IF(OR(E30="",F30=""),"",E30*F30)</f>
        <v/>
      </c>
      <c r="H30" s="5">
        <f>IF(E30="","",E30+G30)</f>
        <v/>
      </c>
      <c r="I30" s="5">
        <f>IF(H30="","",H30/12)</f>
        <v/>
      </c>
      <c r="J30" s="6">
        <f>IF(A30="","",IF(OR(D30&lt;0,E30&lt;0),"Check years/pay","OK"))</f>
        <v/>
      </c>
    </row>
    <row r="31">
      <c r="A31" s="2" t="inlineStr">
        <is>
          <t>T030</t>
        </is>
      </c>
      <c r="B31" s="2" t="inlineStr">
        <is>
          <t>Dan Ellis</t>
        </is>
      </c>
      <c r="C31" s="2" t="inlineStr">
        <is>
          <t>History</t>
        </is>
      </c>
      <c r="D31" s="2" t="n">
        <v>5</v>
      </c>
      <c r="E31" s="3" t="n">
        <v>41500</v>
      </c>
      <c r="F31" s="4">
        <f>IF(Config!$B$3="flat",Config!$B$4,IF(D31="","",IF(AND(D31&gt;=Config!$B$7,D31&lt;=Config!$C$7),Config!$D$7,IF(AND(D31&gt;=Config!$B$8,D31&lt;=Config!$C$8),Config!$D$8,IF(AND(D31&gt;=Config!$B$9,D31&lt;=Config!$C$9),Config!$D$9,IF(AND(D31&gt;=Config!$B$10,D31&lt;=Config!$C$10),Config!$D$10,0))))))</f>
        <v/>
      </c>
      <c r="G31" s="5">
        <f>IF(OR(E31="",F31=""),"",E31*F31)</f>
        <v/>
      </c>
      <c r="H31" s="5">
        <f>IF(E31="","",E31+G31)</f>
        <v/>
      </c>
      <c r="I31" s="5">
        <f>IF(H31="","",H31/12)</f>
        <v/>
      </c>
      <c r="J31" s="6">
        <f>IF(A31="","",IF(OR(D31&lt;0,E31&lt;0),"Check years/pay","OK"))</f>
        <v/>
      </c>
    </row>
    <row r="32">
      <c r="A32" s="2" t="n"/>
      <c r="B32" s="2" t="n"/>
      <c r="C32" s="2" t="n"/>
      <c r="D32" s="2" t="n"/>
      <c r="E32" s="2" t="n"/>
      <c r="F32" s="4">
        <f>IF(A32="","",IF(Config!$B$3="flat",Config!$B$4,IF(AND(D32&gt;=Config!$B$7,D32&lt;=Config!$C$7),Config!$D$7,IF(AND(D32&gt;=Config!$B$8,D32&lt;=Config!$C$8),Config!$D$8,IF(AND(D32&gt;=Config!$B$9,D32&lt;=Config!$C$9),Config!$D$9,IF(AND(D32&gt;=Config!$B$10,D32&lt;=Config!$C$10),Config!$D$10,0))))))</f>
        <v/>
      </c>
      <c r="G32" s="5">
        <f>IF(OR(A32="",E32=""),"",E32*F32)</f>
        <v/>
      </c>
      <c r="H32" s="5">
        <f>IF(A32="","",E32+G32)</f>
        <v/>
      </c>
      <c r="I32" s="5">
        <f>IF(A32="","",H32/12)</f>
        <v/>
      </c>
      <c r="J32" s="6">
        <f>IF(A32="","",IF(OR(D32&lt;0,E32&lt;0),"Check years/pay","OK"))</f>
        <v/>
      </c>
    </row>
    <row r="33">
      <c r="A33" s="2" t="n"/>
      <c r="B33" s="2" t="n"/>
      <c r="C33" s="2" t="n"/>
      <c r="D33" s="2" t="n"/>
      <c r="E33" s="2" t="n"/>
      <c r="F33" s="4">
        <f>IF(A33="","",IF(Config!$B$3="flat",Config!$B$4,IF(AND(D33&gt;=Config!$B$7,D33&lt;=Config!$C$7),Config!$D$7,IF(AND(D33&gt;=Config!$B$8,D33&lt;=Config!$C$8),Config!$D$8,IF(AND(D33&gt;=Config!$B$9,D33&lt;=Config!$C$9),Config!$D$9,IF(AND(D33&gt;=Config!$B$10,D33&lt;=Config!$C$10),Config!$D$10,0))))))</f>
        <v/>
      </c>
      <c r="G33" s="5">
        <f>IF(OR(A33="",E33=""),"",E33*F33)</f>
        <v/>
      </c>
      <c r="H33" s="5">
        <f>IF(A33="","",E33+G33)</f>
        <v/>
      </c>
      <c r="I33" s="5">
        <f>IF(A33="","",H33/12)</f>
        <v/>
      </c>
      <c r="J33" s="6">
        <f>IF(A33="","",IF(OR(D33&lt;0,E33&lt;0),"Check years/pay","OK"))</f>
        <v/>
      </c>
    </row>
    <row r="34">
      <c r="A34" s="2" t="n"/>
      <c r="B34" s="2" t="n"/>
      <c r="C34" s="2" t="n"/>
      <c r="D34" s="2" t="n"/>
      <c r="E34" s="2" t="n"/>
      <c r="F34" s="4">
        <f>IF(A34="","",IF(Config!$B$3="flat",Config!$B$4,IF(AND(D34&gt;=Config!$B$7,D34&lt;=Config!$C$7),Config!$D$7,IF(AND(D34&gt;=Config!$B$8,D34&lt;=Config!$C$8),Config!$D$8,IF(AND(D34&gt;=Config!$B$9,D34&lt;=Config!$C$9),Config!$D$9,IF(AND(D34&gt;=Config!$B$10,D34&lt;=Config!$C$10),Config!$D$10,0))))))</f>
        <v/>
      </c>
      <c r="G34" s="5">
        <f>IF(OR(A34="",E34=""),"",E34*F34)</f>
        <v/>
      </c>
      <c r="H34" s="5">
        <f>IF(A34="","",E34+G34)</f>
        <v/>
      </c>
      <c r="I34" s="5">
        <f>IF(A34="","",H34/12)</f>
        <v/>
      </c>
      <c r="J34" s="6">
        <f>IF(A34="","",IF(OR(D34&lt;0,E34&lt;0),"Check years/pay","OK"))</f>
        <v/>
      </c>
    </row>
    <row r="35">
      <c r="A35" s="2" t="n"/>
      <c r="B35" s="2" t="n"/>
      <c r="C35" s="2" t="n"/>
      <c r="D35" s="2" t="n"/>
      <c r="E35" s="2" t="n"/>
      <c r="F35" s="4">
        <f>IF(A35="","",IF(Config!$B$3="flat",Config!$B$4,IF(AND(D35&gt;=Config!$B$7,D35&lt;=Config!$C$7),Config!$D$7,IF(AND(D35&gt;=Config!$B$8,D35&lt;=Config!$C$8),Config!$D$8,IF(AND(D35&gt;=Config!$B$9,D35&lt;=Config!$C$9),Config!$D$9,IF(AND(D35&gt;=Config!$B$10,D35&lt;=Config!$C$10),Config!$D$10,0))))))</f>
        <v/>
      </c>
      <c r="G35" s="5">
        <f>IF(OR(A35="",E35=""),"",E35*F35)</f>
        <v/>
      </c>
      <c r="H35" s="5">
        <f>IF(A35="","",E35+G35)</f>
        <v/>
      </c>
      <c r="I35" s="5">
        <f>IF(A35="","",H35/12)</f>
        <v/>
      </c>
      <c r="J35" s="6">
        <f>IF(A35="","",IF(OR(D35&lt;0,E35&lt;0),"Check years/pay","OK"))</f>
        <v/>
      </c>
    </row>
    <row r="36">
      <c r="A36" s="2" t="n"/>
      <c r="B36" s="2" t="n"/>
      <c r="C36" s="2" t="n"/>
      <c r="D36" s="2" t="n"/>
      <c r="E36" s="2" t="n"/>
      <c r="F36" s="4">
        <f>IF(A36="","",IF(Config!$B$3="flat",Config!$B$4,IF(AND(D36&gt;=Config!$B$7,D36&lt;=Config!$C$7),Config!$D$7,IF(AND(D36&gt;=Config!$B$8,D36&lt;=Config!$C$8),Config!$D$8,IF(AND(D36&gt;=Config!$B$9,D36&lt;=Config!$C$9),Config!$D$9,IF(AND(D36&gt;=Config!$B$10,D36&lt;=Config!$C$10),Config!$D$10,0))))))</f>
        <v/>
      </c>
      <c r="G36" s="5">
        <f>IF(OR(A36="",E36=""),"",E36*F36)</f>
        <v/>
      </c>
      <c r="H36" s="5">
        <f>IF(A36="","",E36+G36)</f>
        <v/>
      </c>
      <c r="I36" s="5">
        <f>IF(A36="","",H36/12)</f>
        <v/>
      </c>
      <c r="J36" s="6">
        <f>IF(A36="","",IF(OR(D36&lt;0,E36&lt;0),"Check years/pay","OK"))</f>
        <v/>
      </c>
    </row>
    <row r="37">
      <c r="A37" s="2" t="n"/>
      <c r="B37" s="2" t="n"/>
      <c r="C37" s="2" t="n"/>
      <c r="D37" s="2" t="n"/>
      <c r="E37" s="2" t="n"/>
      <c r="F37" s="4">
        <f>IF(A37="","",IF(Config!$B$3="flat",Config!$B$4,IF(AND(D37&gt;=Config!$B$7,D37&lt;=Config!$C$7),Config!$D$7,IF(AND(D37&gt;=Config!$B$8,D37&lt;=Config!$C$8),Config!$D$8,IF(AND(D37&gt;=Config!$B$9,D37&lt;=Config!$C$9),Config!$D$9,IF(AND(D37&gt;=Config!$B$10,D37&lt;=Config!$C$10),Config!$D$10,0))))))</f>
        <v/>
      </c>
      <c r="G37" s="5">
        <f>IF(OR(A37="",E37=""),"",E37*F37)</f>
        <v/>
      </c>
      <c r="H37" s="5">
        <f>IF(A37="","",E37+G37)</f>
        <v/>
      </c>
      <c r="I37" s="5">
        <f>IF(A37="","",H37/12)</f>
        <v/>
      </c>
      <c r="J37" s="6">
        <f>IF(A37="","",IF(OR(D37&lt;0,E37&lt;0),"Check years/pay","OK"))</f>
        <v/>
      </c>
    </row>
    <row r="38">
      <c r="A38" s="2" t="n"/>
      <c r="B38" s="2" t="n"/>
      <c r="C38" s="2" t="n"/>
      <c r="D38" s="2" t="n"/>
      <c r="E38" s="2" t="n"/>
      <c r="F38" s="4">
        <f>IF(A38="","",IF(Config!$B$3="flat",Config!$B$4,IF(AND(D38&gt;=Config!$B$7,D38&lt;=Config!$C$7),Config!$D$7,IF(AND(D38&gt;=Config!$B$8,D38&lt;=Config!$C$8),Config!$D$8,IF(AND(D38&gt;=Config!$B$9,D38&lt;=Config!$C$9),Config!$D$9,IF(AND(D38&gt;=Config!$B$10,D38&lt;=Config!$C$10),Config!$D$10,0))))))</f>
        <v/>
      </c>
      <c r="G38" s="5">
        <f>IF(OR(A38="",E38=""),"",E38*F38)</f>
        <v/>
      </c>
      <c r="H38" s="5">
        <f>IF(A38="","",E38+G38)</f>
        <v/>
      </c>
      <c r="I38" s="5">
        <f>IF(A38="","",H38/12)</f>
        <v/>
      </c>
      <c r="J38" s="6">
        <f>IF(A38="","",IF(OR(D38&lt;0,E38&lt;0),"Check years/pay","OK"))</f>
        <v/>
      </c>
    </row>
    <row r="39">
      <c r="A39" s="2" t="n"/>
      <c r="B39" s="2" t="n"/>
      <c r="C39" s="2" t="n"/>
      <c r="D39" s="2" t="n"/>
      <c r="E39" s="2" t="n"/>
      <c r="F39" s="4">
        <f>IF(A39="","",IF(Config!$B$3="flat",Config!$B$4,IF(AND(D39&gt;=Config!$B$7,D39&lt;=Config!$C$7),Config!$D$7,IF(AND(D39&gt;=Config!$B$8,D39&lt;=Config!$C$8),Config!$D$8,IF(AND(D39&gt;=Config!$B$9,D39&lt;=Config!$C$9),Config!$D$9,IF(AND(D39&gt;=Config!$B$10,D39&lt;=Config!$C$10),Config!$D$10,0))))))</f>
        <v/>
      </c>
      <c r="G39" s="5">
        <f>IF(OR(A39="",E39=""),"",E39*F39)</f>
        <v/>
      </c>
      <c r="H39" s="5">
        <f>IF(A39="","",E39+G39)</f>
        <v/>
      </c>
      <c r="I39" s="5">
        <f>IF(A39="","",H39/12)</f>
        <v/>
      </c>
      <c r="J39" s="6">
        <f>IF(A39="","",IF(OR(D39&lt;0,E39&lt;0),"Check years/pay","OK"))</f>
        <v/>
      </c>
    </row>
    <row r="40">
      <c r="A40" s="2" t="n"/>
      <c r="B40" s="2" t="n"/>
      <c r="C40" s="2" t="n"/>
      <c r="D40" s="2" t="n"/>
      <c r="E40" s="2" t="n"/>
      <c r="F40" s="4">
        <f>IF(A40="","",IF(Config!$B$3="flat",Config!$B$4,IF(AND(D40&gt;=Config!$B$7,D40&lt;=Config!$C$7),Config!$D$7,IF(AND(D40&gt;=Config!$B$8,D40&lt;=Config!$C$8),Config!$D$8,IF(AND(D40&gt;=Config!$B$9,D40&lt;=Config!$C$9),Config!$D$9,IF(AND(D40&gt;=Config!$B$10,D40&lt;=Config!$C$10),Config!$D$10,0))))))</f>
        <v/>
      </c>
      <c r="G40" s="5">
        <f>IF(OR(A40="",E40=""),"",E40*F40)</f>
        <v/>
      </c>
      <c r="H40" s="5">
        <f>IF(A40="","",E40+G40)</f>
        <v/>
      </c>
      <c r="I40" s="5">
        <f>IF(A40="","",H40/12)</f>
        <v/>
      </c>
      <c r="J40" s="6">
        <f>IF(A40="","",IF(OR(D40&lt;0,E40&lt;0),"Check years/pay","OK"))</f>
        <v/>
      </c>
    </row>
    <row r="41">
      <c r="A41" s="2" t="n"/>
      <c r="B41" s="2" t="n"/>
      <c r="C41" s="2" t="n"/>
      <c r="D41" s="2" t="n"/>
      <c r="E41" s="2" t="n"/>
      <c r="F41" s="4">
        <f>IF(A41="","",IF(Config!$B$3="flat",Config!$B$4,IF(AND(D41&gt;=Config!$B$7,D41&lt;=Config!$C$7),Config!$D$7,IF(AND(D41&gt;=Config!$B$8,D41&lt;=Config!$C$8),Config!$D$8,IF(AND(D41&gt;=Config!$B$9,D41&lt;=Config!$C$9),Config!$D$9,IF(AND(D41&gt;=Config!$B$10,D41&lt;=Config!$C$10),Config!$D$10,0))))))</f>
        <v/>
      </c>
      <c r="G41" s="5">
        <f>IF(OR(A41="",E41=""),"",E41*F41)</f>
        <v/>
      </c>
      <c r="H41" s="5">
        <f>IF(A41="","",E41+G41)</f>
        <v/>
      </c>
      <c r="I41" s="5">
        <f>IF(A41="","",H41/12)</f>
        <v/>
      </c>
      <c r="J41" s="6">
        <f>IF(A41="","",IF(OR(D41&lt;0,E41&lt;0),"Check years/pay","OK"))</f>
        <v/>
      </c>
    </row>
    <row r="42">
      <c r="A42" s="2" t="n"/>
      <c r="B42" s="2" t="n"/>
      <c r="C42" s="2" t="n"/>
      <c r="D42" s="2" t="n"/>
      <c r="E42" s="2" t="n"/>
      <c r="F42" s="4">
        <f>IF(A42="","",IF(Config!$B$3="flat",Config!$B$4,IF(AND(D42&gt;=Config!$B$7,D42&lt;=Config!$C$7),Config!$D$7,IF(AND(D42&gt;=Config!$B$8,D42&lt;=Config!$C$8),Config!$D$8,IF(AND(D42&gt;=Config!$B$9,D42&lt;=Config!$C$9),Config!$D$9,IF(AND(D42&gt;=Config!$B$10,D42&lt;=Config!$C$10),Config!$D$10,0))))))</f>
        <v/>
      </c>
      <c r="G42" s="5">
        <f>IF(OR(A42="",E42=""),"",E42*F42)</f>
        <v/>
      </c>
      <c r="H42" s="5">
        <f>IF(A42="","",E42+G42)</f>
        <v/>
      </c>
      <c r="I42" s="5">
        <f>IF(A42="","",H42/12)</f>
        <v/>
      </c>
      <c r="J42" s="6">
        <f>IF(A42="","",IF(OR(D42&lt;0,E42&lt;0),"Check years/pay","OK"))</f>
        <v/>
      </c>
    </row>
    <row r="43">
      <c r="A43" s="2" t="n"/>
      <c r="B43" s="2" t="n"/>
      <c r="C43" s="2" t="n"/>
      <c r="D43" s="2" t="n"/>
      <c r="E43" s="2" t="n"/>
      <c r="F43" s="4">
        <f>IF(A43="","",IF(Config!$B$3="flat",Config!$B$4,IF(AND(D43&gt;=Config!$B$7,D43&lt;=Config!$C$7),Config!$D$7,IF(AND(D43&gt;=Config!$B$8,D43&lt;=Config!$C$8),Config!$D$8,IF(AND(D43&gt;=Config!$B$9,D43&lt;=Config!$C$9),Config!$D$9,IF(AND(D43&gt;=Config!$B$10,D43&lt;=Config!$C$10),Config!$D$10,0))))))</f>
        <v/>
      </c>
      <c r="G43" s="5">
        <f>IF(OR(A43="",E43=""),"",E43*F43)</f>
        <v/>
      </c>
      <c r="H43" s="5">
        <f>IF(A43="","",E43+G43)</f>
        <v/>
      </c>
      <c r="I43" s="5">
        <f>IF(A43="","",H43/12)</f>
        <v/>
      </c>
      <c r="J43" s="6">
        <f>IF(A43="","",IF(OR(D43&lt;0,E43&lt;0),"Check years/pay","OK"))</f>
        <v/>
      </c>
    </row>
    <row r="44">
      <c r="A44" s="2" t="n"/>
      <c r="B44" s="2" t="n"/>
      <c r="C44" s="2" t="n"/>
      <c r="D44" s="2" t="n"/>
      <c r="E44" s="2" t="n"/>
      <c r="F44" s="4">
        <f>IF(A44="","",IF(Config!$B$3="flat",Config!$B$4,IF(AND(D44&gt;=Config!$B$7,D44&lt;=Config!$C$7),Config!$D$7,IF(AND(D44&gt;=Config!$B$8,D44&lt;=Config!$C$8),Config!$D$8,IF(AND(D44&gt;=Config!$B$9,D44&lt;=Config!$C$9),Config!$D$9,IF(AND(D44&gt;=Config!$B$10,D44&lt;=Config!$C$10),Config!$D$10,0))))))</f>
        <v/>
      </c>
      <c r="G44" s="5">
        <f>IF(OR(A44="",E44=""),"",E44*F44)</f>
        <v/>
      </c>
      <c r="H44" s="5">
        <f>IF(A44="","",E44+G44)</f>
        <v/>
      </c>
      <c r="I44" s="5">
        <f>IF(A44="","",H44/12)</f>
        <v/>
      </c>
      <c r="J44" s="6">
        <f>IF(A44="","",IF(OR(D44&lt;0,E44&lt;0),"Check years/pay","OK"))</f>
        <v/>
      </c>
    </row>
    <row r="45">
      <c r="A45" s="2" t="n"/>
      <c r="B45" s="2" t="n"/>
      <c r="C45" s="2" t="n"/>
      <c r="D45" s="2" t="n"/>
      <c r="E45" s="2" t="n"/>
      <c r="F45" s="4">
        <f>IF(A45="","",IF(Config!$B$3="flat",Config!$B$4,IF(AND(D45&gt;=Config!$B$7,D45&lt;=Config!$C$7),Config!$D$7,IF(AND(D45&gt;=Config!$B$8,D45&lt;=Config!$C$8),Config!$D$8,IF(AND(D45&gt;=Config!$B$9,D45&lt;=Config!$C$9),Config!$D$9,IF(AND(D45&gt;=Config!$B$10,D45&lt;=Config!$C$10),Config!$D$10,0))))))</f>
        <v/>
      </c>
      <c r="G45" s="5">
        <f>IF(OR(A45="",E45=""),"",E45*F45)</f>
        <v/>
      </c>
      <c r="H45" s="5">
        <f>IF(A45="","",E45+G45)</f>
        <v/>
      </c>
      <c r="I45" s="5">
        <f>IF(A45="","",H45/12)</f>
        <v/>
      </c>
      <c r="J45" s="6">
        <f>IF(A45="","",IF(OR(D45&lt;0,E45&lt;0),"Check years/pay","OK"))</f>
        <v/>
      </c>
    </row>
    <row r="46">
      <c r="A46" s="2" t="n"/>
      <c r="B46" s="2" t="n"/>
      <c r="C46" s="2" t="n"/>
      <c r="D46" s="2" t="n"/>
      <c r="E46" s="2" t="n"/>
      <c r="F46" s="4">
        <f>IF(A46="","",IF(Config!$B$3="flat",Config!$B$4,IF(AND(D46&gt;=Config!$B$7,D46&lt;=Config!$C$7),Config!$D$7,IF(AND(D46&gt;=Config!$B$8,D46&lt;=Config!$C$8),Config!$D$8,IF(AND(D46&gt;=Config!$B$9,D46&lt;=Config!$C$9),Config!$D$9,IF(AND(D46&gt;=Config!$B$10,D46&lt;=Config!$C$10),Config!$D$10,0))))))</f>
        <v/>
      </c>
      <c r="G46" s="5">
        <f>IF(OR(A46="",E46=""),"",E46*F46)</f>
        <v/>
      </c>
      <c r="H46" s="5">
        <f>IF(A46="","",E46+G46)</f>
        <v/>
      </c>
      <c r="I46" s="5">
        <f>IF(A46="","",H46/12)</f>
        <v/>
      </c>
      <c r="J46" s="6">
        <f>IF(A46="","",IF(OR(D46&lt;0,E46&lt;0),"Check years/pay","OK"))</f>
        <v/>
      </c>
    </row>
    <row r="47">
      <c r="A47" s="2" t="n"/>
      <c r="B47" s="2" t="n"/>
      <c r="C47" s="2" t="n"/>
      <c r="D47" s="2" t="n"/>
      <c r="E47" s="2" t="n"/>
      <c r="F47" s="4">
        <f>IF(A47="","",IF(Config!$B$3="flat",Config!$B$4,IF(AND(D47&gt;=Config!$B$7,D47&lt;=Config!$C$7),Config!$D$7,IF(AND(D47&gt;=Config!$B$8,D47&lt;=Config!$C$8),Config!$D$8,IF(AND(D47&gt;=Config!$B$9,D47&lt;=Config!$C$9),Config!$D$9,IF(AND(D47&gt;=Config!$B$10,D47&lt;=Config!$C$10),Config!$D$10,0))))))</f>
        <v/>
      </c>
      <c r="G47" s="5">
        <f>IF(OR(A47="",E47=""),"",E47*F47)</f>
        <v/>
      </c>
      <c r="H47" s="5">
        <f>IF(A47="","",E47+G47)</f>
        <v/>
      </c>
      <c r="I47" s="5">
        <f>IF(A47="","",H47/12)</f>
        <v/>
      </c>
      <c r="J47" s="6">
        <f>IF(A47="","",IF(OR(D47&lt;0,E47&lt;0),"Check years/pay","OK"))</f>
        <v/>
      </c>
    </row>
    <row r="48">
      <c r="A48" s="2" t="n"/>
      <c r="B48" s="2" t="n"/>
      <c r="C48" s="2" t="n"/>
      <c r="D48" s="2" t="n"/>
      <c r="E48" s="2" t="n"/>
      <c r="F48" s="4">
        <f>IF(A48="","",IF(Config!$B$3="flat",Config!$B$4,IF(AND(D48&gt;=Config!$B$7,D48&lt;=Config!$C$7),Config!$D$7,IF(AND(D48&gt;=Config!$B$8,D48&lt;=Config!$C$8),Config!$D$8,IF(AND(D48&gt;=Config!$B$9,D48&lt;=Config!$C$9),Config!$D$9,IF(AND(D48&gt;=Config!$B$10,D48&lt;=Config!$C$10),Config!$D$10,0))))))</f>
        <v/>
      </c>
      <c r="G48" s="5">
        <f>IF(OR(A48="",E48=""),"",E48*F48)</f>
        <v/>
      </c>
      <c r="H48" s="5">
        <f>IF(A48="","",E48+G48)</f>
        <v/>
      </c>
      <c r="I48" s="5">
        <f>IF(A48="","",H48/12)</f>
        <v/>
      </c>
      <c r="J48" s="6">
        <f>IF(A48="","",IF(OR(D48&lt;0,E48&lt;0),"Check years/pay","OK"))</f>
        <v/>
      </c>
    </row>
    <row r="49">
      <c r="A49" s="2" t="n"/>
      <c r="B49" s="2" t="n"/>
      <c r="C49" s="2" t="n"/>
      <c r="D49" s="2" t="n"/>
      <c r="E49" s="2" t="n"/>
      <c r="F49" s="4">
        <f>IF(A49="","",IF(Config!$B$3="flat",Config!$B$4,IF(AND(D49&gt;=Config!$B$7,D49&lt;=Config!$C$7),Config!$D$7,IF(AND(D49&gt;=Config!$B$8,D49&lt;=Config!$C$8),Config!$D$8,IF(AND(D49&gt;=Config!$B$9,D49&lt;=Config!$C$9),Config!$D$9,IF(AND(D49&gt;=Config!$B$10,D49&lt;=Config!$C$10),Config!$D$10,0))))))</f>
        <v/>
      </c>
      <c r="G49" s="5">
        <f>IF(OR(A49="",E49=""),"",E49*F49)</f>
        <v/>
      </c>
      <c r="H49" s="5">
        <f>IF(A49="","",E49+G49)</f>
        <v/>
      </c>
      <c r="I49" s="5">
        <f>IF(A49="","",H49/12)</f>
        <v/>
      </c>
      <c r="J49" s="6">
        <f>IF(A49="","",IF(OR(D49&lt;0,E49&lt;0),"Check years/pay","OK"))</f>
        <v/>
      </c>
    </row>
    <row r="50">
      <c r="A50" s="2" t="n"/>
      <c r="B50" s="2" t="n"/>
      <c r="C50" s="2" t="n"/>
      <c r="D50" s="2" t="n"/>
      <c r="E50" s="2" t="n"/>
      <c r="F50" s="4">
        <f>IF(A50="","",IF(Config!$B$3="flat",Config!$B$4,IF(AND(D50&gt;=Config!$B$7,D50&lt;=Config!$C$7),Config!$D$7,IF(AND(D50&gt;=Config!$B$8,D50&lt;=Config!$C$8),Config!$D$8,IF(AND(D50&gt;=Config!$B$9,D50&lt;=Config!$C$9),Config!$D$9,IF(AND(D50&gt;=Config!$B$10,D50&lt;=Config!$C$10),Config!$D$10,0))))))</f>
        <v/>
      </c>
      <c r="G50" s="5">
        <f>IF(OR(A50="",E50=""),"",E50*F50)</f>
        <v/>
      </c>
      <c r="H50" s="5">
        <f>IF(A50="","",E50+G50)</f>
        <v/>
      </c>
      <c r="I50" s="5">
        <f>IF(A50="","",H50/12)</f>
        <v/>
      </c>
      <c r="J50" s="6">
        <f>IF(A50="","",IF(OR(D50&lt;0,E50&lt;0),"Check years/pay","OK"))</f>
        <v/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</cols>
  <sheetData>
    <row r="1">
      <c r="A1" s="7" t="inlineStr">
        <is>
          <t>Pay Increase Settings</t>
        </is>
      </c>
    </row>
    <row r="2"/>
    <row r="3">
      <c r="A3" t="inlineStr">
        <is>
          <t>Mode</t>
        </is>
      </c>
      <c r="B3" s="8" t="inlineStr">
        <is>
          <t>tiered</t>
        </is>
      </c>
      <c r="C3" t="inlineStr">
        <is>
          <t>flat = use Flat Increase % for everyone; tiered = use Years of Service bands</t>
        </is>
      </c>
    </row>
    <row r="4">
      <c r="A4" t="inlineStr">
        <is>
          <t>Flat Increase %</t>
        </is>
      </c>
      <c r="B4" s="9" t="n">
        <v>0.05</v>
      </c>
    </row>
    <row r="5"/>
    <row r="6">
      <c r="A6" s="1" t="inlineStr">
        <is>
          <t>Tier</t>
        </is>
      </c>
      <c r="B6" s="1" t="inlineStr">
        <is>
          <t>Min Years</t>
        </is>
      </c>
      <c r="C6" s="1" t="inlineStr">
        <is>
          <t>Max Years</t>
        </is>
      </c>
      <c r="D6" s="1" t="inlineStr">
        <is>
          <t>Increase %</t>
        </is>
      </c>
    </row>
    <row r="7">
      <c r="A7" s="10" t="n">
        <v>1</v>
      </c>
      <c r="B7" s="2" t="n">
        <v>0</v>
      </c>
      <c r="C7" s="2" t="n">
        <v>2</v>
      </c>
      <c r="D7" s="11" t="n">
        <v>0.03</v>
      </c>
    </row>
    <row r="8">
      <c r="A8" s="10" t="n">
        <v>2</v>
      </c>
      <c r="B8" s="2" t="n">
        <v>3</v>
      </c>
      <c r="C8" s="2" t="n">
        <v>5</v>
      </c>
      <c r="D8" s="11" t="n">
        <v>0.05</v>
      </c>
    </row>
    <row r="9">
      <c r="A9" s="10" t="n">
        <v>3</v>
      </c>
      <c r="B9" s="2" t="n">
        <v>6</v>
      </c>
      <c r="C9" s="2" t="n">
        <v>10</v>
      </c>
      <c r="D9" s="11" t="n">
        <v>0.07000000000000001</v>
      </c>
    </row>
    <row r="10">
      <c r="A10" s="10" t="n">
        <v>4</v>
      </c>
      <c r="B10" s="2" t="n">
        <v>11</v>
      </c>
      <c r="C10" s="2" t="n">
        <v>99</v>
      </c>
      <c r="D10" s="11" t="n">
        <v>0.09</v>
      </c>
    </row>
    <row r="11"/>
    <row r="12">
      <c r="A12" s="12" t="inlineStr">
        <is>
          <t>How to use</t>
        </is>
      </c>
    </row>
    <row r="13">
      <c r="A13" t="inlineStr">
        <is>
          <t>1) Edit yellow cells in Config</t>
        </is>
      </c>
    </row>
    <row r="14">
      <c r="A14" t="inlineStr">
        <is>
          <t>2) Fill / replace teachers on Teachers sheet (yellow = input)</t>
        </is>
      </c>
    </row>
    <row r="15">
      <c r="A15" t="inlineStr">
        <is>
          <t>3) Green columns calculate automatically</t>
        </is>
      </c>
    </row>
    <row r="16">
      <c r="A16" t="inlineStr">
        <is>
          <t>4) Open Summary for totals</t>
        </is>
      </c>
    </row>
  </sheetData>
  <dataValidations count="1">
    <dataValidation sqref="B3" showDropDown="0" showInputMessage="0" showErrorMessage="0" allowBlank="0" type="list">
      <formula1>"flat,tiered"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7" t="inlineStr">
        <is>
          <t>Payroll Increase Summary</t>
        </is>
      </c>
    </row>
    <row r="2"/>
    <row r="3">
      <c r="A3" s="12" t="inlineStr">
        <is>
          <t>Teacher count</t>
        </is>
      </c>
      <c r="B3">
        <f>COUNTA(Teachers!A2:A50)-COUNTBLANK(Teachers!A2:A50)</f>
        <v/>
      </c>
    </row>
    <row r="4">
      <c r="A4" s="12" t="inlineStr">
        <is>
          <t>Current payroll (annual)</t>
        </is>
      </c>
      <c r="B4" s="13">
        <f>SUMIF(Teachers!A2:A50,"&lt;&gt;",Teachers!E2:E50)</f>
        <v/>
      </c>
    </row>
    <row r="5">
      <c r="A5" s="12" t="inlineStr">
        <is>
          <t>Total increase (annual)</t>
        </is>
      </c>
      <c r="B5" s="13">
        <f>SUMIF(Teachers!A2:A50,"&lt;&gt;",Teachers!G2:G50)</f>
        <v/>
      </c>
    </row>
    <row r="6">
      <c r="A6" s="12" t="inlineStr">
        <is>
          <t>New payroll (annual)</t>
        </is>
      </c>
      <c r="B6" s="13">
        <f>SUMIF(Teachers!A2:A50,"&lt;&gt;",Teachers!H2:H50)</f>
        <v/>
      </c>
    </row>
    <row r="7">
      <c r="A7" s="12" t="inlineStr">
        <is>
          <t>New payroll (monthly)</t>
        </is>
      </c>
      <c r="B7" s="13">
        <f>B6/12</f>
        <v/>
      </c>
    </row>
    <row r="8">
      <c r="A8" s="12" t="n"/>
    </row>
    <row r="9">
      <c r="A9" s="12" t="inlineStr">
        <is>
          <t>Validation issues</t>
        </is>
      </c>
      <c r="B9">
        <f>COUNTIF(Teachers!J2:J50,"Check years/pay")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2026-08-02T08:17:30Z</dcterms:created>
  <dcterms:modified xsi:type="dcterms:W3CDTF">2026-08-02T08:17:30Z</dcterms:modified>
</cp:coreProperties>
</file>